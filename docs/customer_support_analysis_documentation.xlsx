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80c5c4f37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d194307f77f4693"/>
    <x:sheet xmlns:r="http://schemas.openxmlformats.org/officeDocument/2006/relationships" name="Data Quality" sheetId="2" r:id="R831ac21c5cab4c2b"/>
    <x:sheet xmlns:r="http://schemas.openxmlformats.org/officeDocument/2006/relationships" name="KPI Definitions" sheetId="3" r:id="Ra8b8e01fbc3e47f9"/>
    <x:sheet xmlns:r="http://schemas.openxmlformats.org/officeDocument/2006/relationships" name="Verified Findings" sheetId="4" r:id="Rc691bcbfc6c449e9"/>
    <x:sheet xmlns:r="http://schemas.openxmlformats.org/officeDocument/2006/relationships" name="Monthly Summary" sheetId="5" r:id="R0819abaf8f334fc4"/>
    <x:sheet xmlns:r="http://schemas.openxmlformats.org/officeDocument/2006/relationships" name="Segment Summary" sheetId="6" r:id="R8eb634ca5490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f7b9d9c024e2e" /><Relationship Type="http://schemas.openxmlformats.org/officeDocument/2006/relationships/theme" Target="/xl/theme/theme1.xml" Id="R1c850d1c74d547d3" /><Relationship Type="http://schemas.openxmlformats.org/officeDocument/2006/relationships/sharedStrings" Target="/xl/sharedStrings.xml" Id="R6df6fc95db7c41cd" /><Relationship Type="http://schemas.openxmlformats.org/officeDocument/2006/relationships/worksheet" Target="/xl/worksheets/sheet1.xml" Id="Rbd194307f77f4693" /><Relationship Type="http://schemas.openxmlformats.org/officeDocument/2006/relationships/worksheet" Target="/xl/worksheets/sheet2.xml" Id="R831ac21c5cab4c2b" /><Relationship Type="http://schemas.openxmlformats.org/officeDocument/2006/relationships/worksheet" Target="/xl/worksheets/sheet3.xml" Id="Ra8b8e01fbc3e47f9" /><Relationship Type="http://schemas.openxmlformats.org/officeDocument/2006/relationships/worksheet" Target="/xl/worksheets/sheet4.xml" Id="Rc691bcbfc6c449e9" /><Relationship Type="http://schemas.openxmlformats.org/officeDocument/2006/relationships/worksheet" Target="/xl/worksheets/sheet5.xml" Id="R0819abaf8f334fc4" /><Relationship Type="http://schemas.openxmlformats.org/officeDocument/2006/relationships/worksheet" Target="/xl/worksheets/sheet6.xml" Id="R8eb634ca549049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5b807a9cbb4352" /><Relationship Type="http://schemas.openxmlformats.org/officeDocument/2006/relationships/chart" Target="/xl/drawings/charts/chart2.xml" Id="Rb732b15259b84d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Ticket Volume and Backlog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total_tickets</c:v>
          </c:tx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Summary'!$B$2:$B$13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active_backlog</c:v>
          </c:tx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Summary'!$C$2:$C$13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SLA Compliance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Response SLA %</c:v>
          </c:tx>
          <c:cat>
            <c:strRef>
              <c:f>'Monthly Summary'!$J$21:$J$32</c:f>
              <c:strCache>
                <c:ptCount val="0"/>
              </c:strCache>
            </c:strRef>
          </c:cat>
          <c:val>
            <c:numRef>
              <c:f>'Monthly Summary'!$K$21:$K$32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Resolution SLA %</c:v>
          </c:tx>
          <c:cat>
            <c:strRef>
              <c:f>'Monthly Summary'!$J$21:$J$32</c:f>
              <c:strCache>
                <c:ptCount val="0"/>
              </c:strCache>
            </c:strRef>
          </c:cat>
          <c:val>
            <c:numRef>
              <c:f>'Monthly Summary'!$L$21:$L$32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5b807a9cbb435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32b15259b84d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ac6d66c5808473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</x:cols>
  <x:sheetData>
    <x:row r="1">
      <x:c r="A1" s="5" t="str">
        <x:v>Customer Support Operations &amp; SLA Analytics</x:v>
      </x:c>
      <x:c r="B1" s="5"/>
      <x:c r="C1" s="5"/>
      <x:c r="D1" s="5"/>
      <x:c r="E1" s="5"/>
      <x:c r="F1" s="5"/>
    </x:row>
    <x:row r="3">
      <x:c r="A3" s="14" t="str">
        <x:v>Metric</x:v>
      </x:c>
      <x:c r="B3" s="14" t="str">
        <x:v>Verified Value</x:v>
      </x:c>
    </x:row>
    <x:row r="4">
      <x:c r="A4" t="str">
        <x:v>Source rows</x:v>
      </x:c>
      <x:c r="B4" t="n">
        <x:v>2330</x:v>
      </x:c>
    </x:row>
    <x:row r="5">
      <x:c r="A5" t="str">
        <x:v>Original columns</x:v>
      </x:c>
      <x:c r="B5" t="n">
        <x:v>22</x:v>
      </x:c>
    </x:row>
    <x:row r="6">
      <x:c r="A6" t="str">
        <x:v>Total tickets</x:v>
      </x:c>
      <x:c r="B6" t="n">
        <x:v>2330</x:v>
      </x:c>
    </x:row>
    <x:row r="7">
      <x:c r="A7" t="str">
        <x:v>Completed tickets</x:v>
      </x:c>
      <x:c r="B7" t="n">
        <x:v>1912</x:v>
      </x:c>
    </x:row>
    <x:row r="8">
      <x:c r="A8" t="str">
        <x:v>Active backlog</x:v>
      </x:c>
      <x:c r="B8" t="n">
        <x:v>418</x:v>
      </x:c>
    </x:row>
    <x:row r="9">
      <x:c r="A9" t="str">
        <x:v>Backlog rate</x:v>
      </x:c>
      <x:c r="B9" s="20" t="n">
        <x:v>0.1794</x:v>
      </x:c>
    </x:row>
    <x:row r="10">
      <x:c r="A10" t="str">
        <x:v>Average first-response minutes</x:v>
      </x:c>
      <x:c r="B10" t="n">
        <x:v>26.83</x:v>
      </x:c>
    </x:row>
    <x:row r="11">
      <x:c r="A11" t="str">
        <x:v>Average resolution hours</x:v>
      </x:c>
      <x:c r="B11" t="n">
        <x:v>33.24</x:v>
      </x:c>
    </x:row>
    <x:row r="12">
      <x:c r="A12" t="str">
        <x:v>Response SLA compliance</x:v>
      </x:c>
      <x:c r="B12" s="20" t="n">
        <x:v>0.8792</x:v>
      </x:c>
    </x:row>
    <x:row r="13">
      <x:c r="A13" t="str">
        <x:v>Completed resolution SLA compliance</x:v>
      </x:c>
      <x:c r="B13" s="20" t="n">
        <x:v>0.8086</x:v>
      </x:c>
    </x:row>
    <x:row r="14">
      <x:c r="A14" t="str">
        <x:v>Average survey score</x:v>
      </x:c>
      <x:c r="B14" t="n">
        <x:v>3.51</x:v>
      </x:c>
    </x:row>
    <x:row r="15">
      <x:c r="A15" t="str">
        <x:v>Dataset snapshot</x:v>
      </x:c>
      <x:c r="B15" t="str">
        <x:v>2024-01-04T05:39:41.133000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62" hidden="0" customWidth="1"/>
  </x:cols>
  <x:sheetData>
    <x:row r="1">
      <x:c r="A1" s="14" t="str">
        <x:v>Check</x:v>
      </x:c>
      <x:c r="B1" s="14" t="str">
        <x:v>Count</x:v>
      </x:c>
      <x:c r="C1" s="14" t="str">
        <x:v>Treatment</x:v>
      </x:c>
    </x:row>
    <x:row r="2">
      <x:c r="A2" t="str">
        <x:v>Invalid first-response timestamps</x:v>
      </x:c>
      <x:c r="B2" t="n">
        <x:v>2</x:v>
      </x:c>
      <x:c r="C2" t="str">
        <x:v>Set duration to blank; retain record and flag for audit</x:v>
      </x:c>
    </x:row>
    <x:row r="3">
      <x:c r="A3" t="str">
        <x:v>Missing first-response timestamps</x:v>
      </x:c>
      <x:c r="B3" t="n">
        <x:v>18</x:v>
      </x:c>
      <x:c r="C3" t="str">
        <x:v>Exclude from response-SLA denominator</x:v>
      </x:c>
    </x:row>
    <x:row r="4">
      <x:c r="A4" t="str">
        <x:v>Missing interaction counts</x:v>
      </x:c>
      <x:c r="B4" t="n">
        <x:v>18</x:v>
      </x:c>
      <x:c r="C4" t="str">
        <x:v>Keep blank; do not assume zero</x:v>
      </x:c>
    </x:row>
    <x:row r="5">
      <x:c r="A5" t="str">
        <x:v>Response-SLA label mismatches</x:v>
      </x:c>
      <x:c r="B5" t="n">
        <x:v>14</x:v>
      </x:c>
      <x:c r="C5" t="str">
        <x:v>Use timestamp-based calculated status for reporting</x:v>
      </x:c>
    </x:row>
    <x:row r="6">
      <x:c r="A6" t="str">
        <x:v>Resolution-SLA label mismatches</x:v>
      </x:c>
      <x:c r="B6" t="n">
        <x:v>0</x:v>
      </x:c>
      <x:c r="C6" t="str">
        <x:v>Use timestamp-based calculated status for reporting</x:v>
      </x:c>
    </x:row>
    <x:row r="7">
      <x:c r="A7" t="str">
        <x:v>Inconsistent topic capitalization</x:v>
      </x:c>
      <x:c r="B7" t="n">
        <x:v>68</x:v>
      </x:c>
      <x:c r="C7" t="str">
        <x:v>Standardized to Pricing and licensing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  <x:col min="3" max="3" width="52" hidden="0" customWidth="1"/>
  </x:cols>
  <x:sheetData>
    <x:row r="1">
      <x:c r="A1" s="14" t="str">
        <x:v>KPI</x:v>
      </x:c>
      <x:c r="B1" s="14" t="str">
        <x:v>Definition</x:v>
      </x:c>
      <x:c r="C1" s="14" t="str">
        <x:v>Calculation</x:v>
      </x:c>
    </x:row>
    <x:row r="2">
      <x:c r="A2" t="str">
        <x:v>Total Tickets</x:v>
      </x:c>
      <x:c r="B2" t="str">
        <x:v>All ticket records</x:v>
      </x:c>
      <x:c r="C2" t="str">
        <x:v>COUNTROWS(FactSupportTickets)</x:v>
      </x:c>
    </x:row>
    <x:row r="3">
      <x:c r="A3" t="str">
        <x:v>Completed Tickets</x:v>
      </x:c>
      <x:c r="B3" t="str">
        <x:v>Tickets with Closed or Resolved status</x:v>
      </x:c>
      <x:c r="C3" t="str">
        <x:v>status_group = Completed</x:v>
      </x:c>
    </x:row>
    <x:row r="4">
      <x:c r="A4" t="str">
        <x:v>Active Backlog</x:v>
      </x:c>
      <x:c r="B4" t="str">
        <x:v>Tickets with Open or In progress status</x:v>
      </x:c>
      <x:c r="C4" t="str">
        <x:v>status_group = Active</x:v>
      </x:c>
    </x:row>
    <x:row r="5">
      <x:c r="A5" t="str">
        <x:v>Backlog Rate</x:v>
      </x:c>
      <x:c r="B5" t="str">
        <x:v>Share of all tickets still active</x:v>
      </x:c>
      <x:c r="C5" t="str">
        <x:v>Active Backlog / Total Tickets</x:v>
      </x:c>
    </x:row>
    <x:row r="6">
      <x:c r="A6" t="str">
        <x:v>Average First Response Minutes</x:v>
      </x:c>
      <x:c r="B6" t="str">
        <x:v>Average valid elapsed time from creation to first response</x:v>
      </x:c>
      <x:c r="C6" t="str">
        <x:v>AVERAGE(first_response_minutes)</x:v>
      </x:c>
    </x:row>
    <x:row r="7">
      <x:c r="A7" t="str">
        <x:v>Response SLA Compliance</x:v>
      </x:c>
      <x:c r="B7" t="str">
        <x:v>Share of valid response records meeting the expected response timestamp</x:v>
      </x:c>
      <x:c r="C7" t="str">
        <x:v>Response SLA Met / Valid Response SLA Tickets</x:v>
      </x:c>
    </x:row>
    <x:row r="8">
      <x:c r="A8" t="str">
        <x:v>Average Resolution Hours</x:v>
      </x:c>
      <x:c r="B8" t="str">
        <x:v>Average elapsed time from creation to resolution</x:v>
      </x:c>
      <x:c r="C8" t="str">
        <x:v>AVERAGE(resolution_hours)</x:v>
      </x:c>
    </x:row>
    <x:row r="9">
      <x:c r="A9" t="str">
        <x:v>Completed Resolution SLA Compliance</x:v>
      </x:c>
      <x:c r="B9" t="str">
        <x:v>Share of completed tickets resolved by their expected resolution timestamp</x:v>
      </x:c>
      <x:c r="C9" t="str">
        <x:v>Completed Resolution SLA Met / Completed Tickets</x:v>
      </x:c>
    </x:row>
    <x:row r="10">
      <x:c r="A10" t="str">
        <x:v>Average Survey Score</x:v>
      </x:c>
      <x:c r="B10" t="str">
        <x:v>Average available survey result</x:v>
      </x:c>
      <x:c r="C10" t="str">
        <x:v>AVERAGE(survey_score)</x:v>
      </x:c>
    </x:row>
    <x:row r="11">
      <x:c r="A11" t="str">
        <x:v>Active Overdue Tickets</x:v>
      </x:c>
      <x:c r="B11" t="str">
        <x:v>Active tickets whose expected resolution timestamp passed before the dataset snapshot</x:v>
      </x:c>
      <x:c r="C11" t="str">
        <x:v>active_overdue = 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50" hidden="0" customWidth="1"/>
  </x:cols>
  <x:sheetData>
    <x:row r="1">
      <x:c r="A1" s="14" t="str">
        <x:v>Finding</x:v>
      </x:c>
      <x:c r="B1" s="14" t="str">
        <x:v>Verified Value</x:v>
      </x:c>
    </x:row>
    <x:row r="2">
      <x:c r="A2" t="str">
        <x:v>Highest-volume support topic</x:v>
      </x:c>
      <x:c r="B2" t="str">
        <x:v>Product setup (630 tickets)</x:v>
      </x:c>
    </x:row>
    <x:row r="3">
      <x:c r="A3" t="str">
        <x:v>Highest backlog-rate topic</x:v>
      </x:c>
      <x:c r="B3" t="str">
        <x:v>Training request (24.24%)</x:v>
      </x:c>
    </x:row>
    <x:row r="4">
      <x:c r="A4" t="str">
        <x:v>Lowest completed resolution-SLA compliance by topic</x:v>
      </x:c>
      <x:c r="B4" t="str">
        <x:v>Training request (76.00%)</x:v>
      </x:c>
    </x:row>
    <x:row r="5">
      <x:c r="A5" t="str">
        <x:v>Lowest response-SLA compliance by source</x:v>
      </x:c>
      <x:c r="B5" t="str">
        <x:v>Phone (75.82%)</x:v>
      </x:c>
    </x:row>
    <x:row r="6">
      <x:c r="A6" t="str">
        <x:v>Agent with largest active backlog</x:v>
      </x:c>
      <x:c r="B6" t="str">
        <x:v>Connor Danielovitch (74 tickets)</x:v>
      </x:c>
    </x:row>
    <x:row r="7">
      <x:c r="A7" t="str">
        <x:v>Highest completed resolution-SLA compliance by agent</x:v>
      </x:c>
      <x:c r="B7" t="str">
        <x:v>Heather Urry (87.10%)</x:v>
      </x:c>
    </x:row>
    <x:row r="8">
      <x:c r="A8" t="str">
        <x:v>Lowest completed resolution-SLA compliance by product group</x:v>
      </x:c>
      <x:c r="B8" t="str">
        <x:v>Custom software development (78.71%)</x:v>
      </x:c>
    </x:row>
    <x:row r="9">
      <x:c r="A9" t="str">
        <x:v>Monthly completed resolution-SLA trend</x:v>
      </x:c>
      <x:c r="B9" t="str">
        <x:v>91.44% in 2023-01 to 72.41% in 2023-12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4" t="str">
        <x:v>year_month</x:v>
      </x:c>
      <x:c r="B1" s="14" t="str">
        <x:v>total_tickets</x:v>
      </x:c>
      <x:c r="C1" s="14" t="str">
        <x:v>active_backlog</x:v>
      </x:c>
      <x:c r="D1" s="14" t="str">
        <x:v>avg_first_response_minutes</x:v>
      </x:c>
      <x:c r="E1" s="14" t="str">
        <x:v>avg_resolution_hours</x:v>
      </x:c>
      <x:c r="F1" s="14" t="str">
        <x:v>response_sla_compliance_pct</x:v>
      </x:c>
      <x:c r="G1" s="14" t="str">
        <x:v>completed_resolution_sla_compliance_pct</x:v>
      </x:c>
      <x:c r="H1" s="14" t="str">
        <x:v>avg_survey_score</x:v>
      </x:c>
    </x:row>
    <x:row r="2">
      <x:c r="A2" t="str">
        <x:v>2023-01</x:v>
      </x:c>
      <x:c r="B2" t="n">
        <x:v>224</x:v>
      </x:c>
      <x:c r="C2" t="n">
        <x:v>37</x:v>
      </x:c>
      <x:c r="D2" t="n">
        <x:v>30.4</x:v>
      </x:c>
      <x:c r="E2" t="n">
        <x:v>26.1</x:v>
      </x:c>
      <x:c r="F2" s="22" t="n">
        <x:v>87.05</x:v>
      </x:c>
      <x:c r="G2" s="22" t="n">
        <x:v>91.44</x:v>
      </x:c>
      <x:c r="H2" t="n">
        <x:v>3.49</x:v>
      </x:c>
    </x:row>
    <x:row r="3">
      <x:c r="A3" t="str">
        <x:v>2023-02</x:v>
      </x:c>
      <x:c r="B3" t="n">
        <x:v>159</x:v>
      </x:c>
      <x:c r="C3" t="n">
        <x:v>36</x:v>
      </x:c>
      <x:c r="D3" t="n">
        <x:v>29.83</x:v>
      </x:c>
      <x:c r="E3" t="n">
        <x:v>27.17</x:v>
      </x:c>
      <x:c r="F3" s="22" t="n">
        <x:v>85.9</x:v>
      </x:c>
      <x:c r="G3" s="22" t="n">
        <x:v>90.24</x:v>
      </x:c>
      <x:c r="H3" t="n">
        <x:v>3.47</x:v>
      </x:c>
    </x:row>
    <x:row r="4">
      <x:c r="A4" t="str">
        <x:v>2023-03</x:v>
      </x:c>
      <x:c r="B4" t="n">
        <x:v>203</x:v>
      </x:c>
      <x:c r="C4" t="n">
        <x:v>35</x:v>
      </x:c>
      <x:c r="D4" t="n">
        <x:v>29.44</x:v>
      </x:c>
      <x:c r="E4" t="n">
        <x:v>30.55</x:v>
      </x:c>
      <x:c r="F4" s="22" t="n">
        <x:v>87.13</x:v>
      </x:c>
      <x:c r="G4" s="22" t="n">
        <x:v>88.69</x:v>
      </x:c>
      <x:c r="H4" t="n">
        <x:v>3.56</x:v>
      </x:c>
    </x:row>
    <x:row r="5">
      <x:c r="A5" t="str">
        <x:v>2023-04</x:v>
      </x:c>
      <x:c r="B5" t="n">
        <x:v>173</x:v>
      </x:c>
      <x:c r="C5" t="n">
        <x:v>38</x:v>
      </x:c>
      <x:c r="D5" t="n">
        <x:v>31.54</x:v>
      </x:c>
      <x:c r="E5" t="n">
        <x:v>27.03</x:v>
      </x:c>
      <x:c r="F5" s="22" t="n">
        <x:v>84.21</x:v>
      </x:c>
      <x:c r="G5" s="22" t="n">
        <x:v>85.19</x:v>
      </x:c>
      <x:c r="H5" t="n">
        <x:v>3.43</x:v>
      </x:c>
    </x:row>
    <x:row r="6">
      <x:c r="A6" t="str">
        <x:v>2023-05</x:v>
      </x:c>
      <x:c r="B6" t="n">
        <x:v>219</x:v>
      </x:c>
      <x:c r="C6" t="n">
        <x:v>45</x:v>
      </x:c>
      <x:c r="D6" t="n">
        <x:v>28.62</x:v>
      </x:c>
      <x:c r="E6" t="n">
        <x:v>28.19</x:v>
      </x:c>
      <x:c r="F6" s="22" t="n">
        <x:v>84.86</x:v>
      </x:c>
      <x:c r="G6" s="22" t="n">
        <x:v>87.93</x:v>
      </x:c>
      <x:c r="H6" t="n">
        <x:v>3.41</x:v>
      </x:c>
    </x:row>
    <x:row r="7">
      <x:c r="A7" t="str">
        <x:v>2023-06</x:v>
      </x:c>
      <x:c r="B7" t="n">
        <x:v>203</x:v>
      </x:c>
      <x:c r="C7" t="n">
        <x:v>40</x:v>
      </x:c>
      <x:c r="D7" t="n">
        <x:v>26.71</x:v>
      </x:c>
      <x:c r="E7" t="n">
        <x:v>31.85</x:v>
      </x:c>
      <x:c r="F7" s="22" t="n">
        <x:v>85.22</x:v>
      </x:c>
      <x:c r="G7" s="22" t="n">
        <x:v>82.82</x:v>
      </x:c>
      <x:c r="H7" t="n">
        <x:v>3.58</x:v>
      </x:c>
    </x:row>
    <x:row r="8">
      <x:c r="A8" t="str">
        <x:v>2023-07</x:v>
      </x:c>
      <x:c r="B8" t="n">
        <x:v>202</x:v>
      </x:c>
      <x:c r="C8" t="n">
        <x:v>38</x:v>
      </x:c>
      <x:c r="D8" t="n">
        <x:v>21.02</x:v>
      </x:c>
      <x:c r="E8" t="n">
        <x:v>35.82</x:v>
      </x:c>
      <x:c r="F8" s="22" t="n">
        <x:v>89.11</x:v>
      </x:c>
      <x:c r="G8" s="22" t="n">
        <x:v>78.05</x:v>
      </x:c>
      <x:c r="H8" t="n">
        <x:v>3.43</x:v>
      </x:c>
    </x:row>
    <x:row r="9">
      <x:c r="A9" t="str">
        <x:v>2023-08</x:v>
      </x:c>
      <x:c r="B9" t="n">
        <x:v>194</x:v>
      </x:c>
      <x:c r="C9" t="n">
        <x:v>35</x:v>
      </x:c>
      <x:c r="D9" t="n">
        <x:v>30.68</x:v>
      </x:c>
      <x:c r="E9" t="n">
        <x:v>38.21</x:v>
      </x:c>
      <x:c r="F9" s="22" t="n">
        <x:v>89.12</x:v>
      </x:c>
      <x:c r="G9" s="22" t="n">
        <x:v>76.1</x:v>
      </x:c>
      <x:c r="H9" t="n">
        <x:v>3.44</x:v>
      </x:c>
    </x:row>
    <x:row r="10">
      <x:c r="A10" t="str">
        <x:v>2023-09</x:v>
      </x:c>
      <x:c r="B10" t="n">
        <x:v>164</x:v>
      </x:c>
      <x:c r="C10" t="n">
        <x:v>21</x:v>
      </x:c>
      <x:c r="D10" t="n">
        <x:v>27.03</x:v>
      </x:c>
      <x:c r="E10" t="n">
        <x:v>39.14</x:v>
      </x:c>
      <x:c r="F10" s="22" t="n">
        <x:v>89.63</x:v>
      </x:c>
      <x:c r="G10" s="22" t="n">
        <x:v>74.13</x:v>
      </x:c>
      <x:c r="H10" t="n">
        <x:v>3.43</x:v>
      </x:c>
    </x:row>
    <x:row r="11">
      <x:c r="A11" t="str">
        <x:v>2023-10</x:v>
      </x:c>
      <x:c r="B11" t="n">
        <x:v>200</x:v>
      </x:c>
      <x:c r="C11" t="n">
        <x:v>29</x:v>
      </x:c>
      <x:c r="D11" t="n">
        <x:v>23.33</x:v>
      </x:c>
      <x:c r="E11" t="n">
        <x:v>39.19</x:v>
      </x:c>
      <x:c r="F11" s="22" t="n">
        <x:v>91.5</x:v>
      </x:c>
      <x:c r="G11" s="22" t="n">
        <x:v>71.93</x:v>
      </x:c>
      <x:c r="H11" t="n">
        <x:v>3.55</x:v>
      </x:c>
    </x:row>
    <x:row r="12">
      <x:c r="A12" t="str">
        <x:v>2023-11</x:v>
      </x:c>
      <x:c r="B12" t="n">
        <x:v>213</x:v>
      </x:c>
      <x:c r="C12" t="n">
        <x:v>33</x:v>
      </x:c>
      <x:c r="D12" t="n">
        <x:v>20.61</x:v>
      </x:c>
      <x:c r="E12" t="n">
        <x:v>37.87</x:v>
      </x:c>
      <x:c r="F12" s="22" t="n">
        <x:v>90.61</x:v>
      </x:c>
      <x:c r="G12" s="22" t="n">
        <x:v>71.67</x:v>
      </x:c>
      <x:c r="H12" t="n">
        <x:v>3.63</x:v>
      </x:c>
    </x:row>
    <x:row r="13">
      <x:c r="A13" t="str">
        <x:v>2023-12</x:v>
      </x:c>
      <x:c r="B13" t="n">
        <x:v>176</x:v>
      </x:c>
      <x:c r="C13" t="n">
        <x:v>31</x:v>
      </x:c>
      <x:c r="D13" t="n">
        <x:v>23.46</x:v>
      </x:c>
      <x:c r="E13" t="n">
        <x:v>37.14</x:v>
      </x:c>
      <x:c r="F13" s="22" t="n">
        <x:v>90.85</x:v>
      </x:c>
      <x:c r="G13" s="22" t="n">
        <x:v>72.41</x:v>
      </x:c>
      <x:c r="H13" t="n">
        <x:v>3.63</x:v>
      </x:c>
    </x:row>
    <x:row r="14">
      <x:c r="F14" s="22"/>
      <x:c r="G14" s="22"/>
    </x:row>
    <x:row r="15">
      <x:c r="F15" s="22"/>
      <x:c r="G15" s="22"/>
    </x:row>
    <x:row r="16">
      <x:c r="F16" s="22"/>
      <x:c r="G16" s="22"/>
    </x:row>
    <x:row r="17">
      <x:c r="F17" s="22"/>
      <x:c r="G17" s="22"/>
    </x:row>
    <x:row r="18">
      <x:c r="F18" s="22"/>
      <x:c r="G18" s="22"/>
    </x:row>
    <x:row r="19">
      <x:c r="F19" s="22"/>
      <x:c r="G19" s="22"/>
    </x:row>
    <x:row r="20">
      <x:c r="F20" s="22"/>
      <x:c r="G20" s="22"/>
      <x:c r="J20" s="14" t="str">
        <x:v>Year Month</x:v>
      </x:c>
      <x:c r="K20" s="14" t="str">
        <x:v>Response SLA %</x:v>
      </x:c>
      <x:c r="L20" s="14" t="str">
        <x:v>Resolution SLA %</x:v>
      </x:c>
    </x:row>
    <x:row r="21">
      <x:c r="J21" t="str">
        <x:v>2023-01</x:v>
      </x:c>
      <x:c r="K21" t="n">
        <x:v>87.05</x:v>
      </x:c>
      <x:c r="L21" t="n">
        <x:v>91.44</x:v>
      </x:c>
    </x:row>
    <x:row r="22">
      <x:c r="J22" t="str">
        <x:v>2023-02</x:v>
      </x:c>
      <x:c r="K22" t="n">
        <x:v>85.9</x:v>
      </x:c>
      <x:c r="L22" t="n">
        <x:v>90.24</x:v>
      </x:c>
    </x:row>
    <x:row r="23">
      <x:c r="J23" t="str">
        <x:v>2023-03</x:v>
      </x:c>
      <x:c r="K23" t="n">
        <x:v>87.13</x:v>
      </x:c>
      <x:c r="L23" t="n">
        <x:v>88.69</x:v>
      </x:c>
    </x:row>
    <x:row r="24">
      <x:c r="J24" t="str">
        <x:v>2023-04</x:v>
      </x:c>
      <x:c r="K24" t="n">
        <x:v>84.21</x:v>
      </x:c>
      <x:c r="L24" t="n">
        <x:v>85.19</x:v>
      </x:c>
    </x:row>
    <x:row r="25">
      <x:c r="J25" t="str">
        <x:v>2023-05</x:v>
      </x:c>
      <x:c r="K25" t="n">
        <x:v>84.86</x:v>
      </x:c>
      <x:c r="L25" t="n">
        <x:v>87.93</x:v>
      </x:c>
    </x:row>
    <x:row r="26">
      <x:c r="J26" t="str">
        <x:v>2023-06</x:v>
      </x:c>
      <x:c r="K26" t="n">
        <x:v>85.22</x:v>
      </x:c>
      <x:c r="L26" t="n">
        <x:v>82.82</x:v>
      </x:c>
    </x:row>
    <x:row r="27">
      <x:c r="J27" t="str">
        <x:v>2023-07</x:v>
      </x:c>
      <x:c r="K27" t="n">
        <x:v>89.11</x:v>
      </x:c>
      <x:c r="L27" t="n">
        <x:v>78.05</x:v>
      </x:c>
    </x:row>
    <x:row r="28">
      <x:c r="J28" t="str">
        <x:v>2023-08</x:v>
      </x:c>
      <x:c r="K28" t="n">
        <x:v>89.12</x:v>
      </x:c>
      <x:c r="L28" t="n">
        <x:v>76.1</x:v>
      </x:c>
    </x:row>
    <x:row r="29">
      <x:c r="J29" t="str">
        <x:v>2023-09</x:v>
      </x:c>
      <x:c r="K29" t="n">
        <x:v>89.63</x:v>
      </x:c>
      <x:c r="L29" t="n">
        <x:v>74.13</x:v>
      </x:c>
    </x:row>
    <x:row r="30">
      <x:c r="J30" t="str">
        <x:v>2023-10</x:v>
      </x:c>
      <x:c r="K30" t="n">
        <x:v>91.5</x:v>
      </x:c>
      <x:c r="L30" t="n">
        <x:v>71.93</x:v>
      </x:c>
    </x:row>
    <x:row r="31">
      <x:c r="J31" t="str">
        <x:v>2023-11</x:v>
      </x:c>
      <x:c r="K31" t="n">
        <x:v>90.61</x:v>
      </x:c>
      <x:c r="L31" t="n">
        <x:v>71.67</x:v>
      </x:c>
    </x:row>
    <x:row r="32">
      <x:c r="J32" t="str">
        <x:v>2023-12</x:v>
      </x:c>
      <x:c r="K32" t="n">
        <x:v>90.85</x:v>
      </x:c>
      <x:c r="L32" t="n">
        <x:v>72.41</x:v>
      </x:c>
    </x:row>
  </x:sheetData>
  <x:conditionalFormatting sqref="F2:G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1ac6d66c58084732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8" t="str">
        <x:v>Source Summary</x:v>
      </x:c>
      <x:c r="B1" s="28"/>
      <x:c r="C1" s="28"/>
      <x:c r="D1" s="28"/>
      <x:c r="E1" s="28"/>
      <x:c r="F1" s="28"/>
    </x:row>
    <x:row r="2">
      <x:c r="A2" s="14" t="str">
        <x:v>source</x:v>
      </x:c>
      <x:c r="B2" s="14" t="str">
        <x:v>total_tickets</x:v>
      </x:c>
      <x:c r="C2" s="14" t="str">
        <x:v>active_backlog</x:v>
      </x:c>
      <x:c r="D2" s="14" t="str">
        <x:v>backlog_rate_pct</x:v>
      </x:c>
      <x:c r="E2" s="14" t="str">
        <x:v>response_sla_compliance_pct</x:v>
      </x:c>
      <x:c r="F2" s="14" t="str">
        <x:v>completed_resolution_sla_compliance_pct</x:v>
      </x:c>
    </x:row>
    <x:row r="3">
      <x:c r="A3" t="str">
        <x:v>Chat</x:v>
      </x:c>
      <x:c r="B3" t="n">
        <x:v>850</x:v>
      </x:c>
      <x:c r="C3" t="n">
        <x:v>148</x:v>
      </x:c>
      <x:c r="D3" t="n">
        <x:v>17.41</x:v>
      </x:c>
      <x:c r="E3" t="n">
        <x:v>84.52</x:v>
      </x:c>
      <x:c r="F3" t="n">
        <x:v>76.92</x:v>
      </x:c>
    </x:row>
    <x:row r="4">
      <x:c r="A4" t="str">
        <x:v>Email</x:v>
      </x:c>
      <x:c r="B4" t="n">
        <x:v>1234</x:v>
      </x:c>
      <x:c r="C4" t="n">
        <x:v>222</x:v>
      </x:c>
      <x:c r="D4" t="n">
        <x:v>17.99</x:v>
      </x:c>
      <x:c r="E4" t="n">
        <x:v>92.7</x:v>
      </x:c>
      <x:c r="F4" t="n">
        <x:v>83.7</x:v>
      </x:c>
    </x:row>
    <x:row r="5">
      <x:c r="A5" t="str">
        <x:v>Phone</x:v>
      </x:c>
      <x:c r="B5" t="n">
        <x:v>246</x:v>
      </x:c>
      <x:c r="C5" t="n">
        <x:v>48</x:v>
      </x:c>
      <x:c r="D5" t="n">
        <x:v>19.51</x:v>
      </x:c>
      <x:c r="E5" t="n">
        <x:v>75.82</x:v>
      </x:c>
      <x:c r="F5" t="n">
        <x:v>80.3</x:v>
      </x:c>
    </x:row>
    <x:row r="7">
      <x:c r="A7" s="25" t="str">
        <x:v>Topic Summary</x:v>
      </x:c>
      <x:c r="B7" s="25"/>
      <x:c r="C7" s="25"/>
      <x:c r="D7" s="25"/>
      <x:c r="E7" s="25"/>
      <x:c r="F7" s="25"/>
    </x:row>
    <x:row r="8">
      <x:c r="A8" s="14" t="str">
        <x:v>topic</x:v>
      </x:c>
      <x:c r="B8" s="14" t="str">
        <x:v>total_tickets</x:v>
      </x:c>
      <x:c r="C8" s="14" t="str">
        <x:v>active_backlog</x:v>
      </x:c>
      <x:c r="D8" s="14" t="str">
        <x:v>backlog_rate_pct</x:v>
      </x:c>
      <x:c r="E8" s="14" t="str">
        <x:v>avg_resolution_hours</x:v>
      </x:c>
      <x:c r="F8" s="14" t="str">
        <x:v>completed_resolution_sla_compliance_pct</x:v>
      </x:c>
    </x:row>
    <x:row r="9">
      <x:c r="A9" t="str">
        <x:v>Bug report</x:v>
      </x:c>
      <x:c r="B9" t="n">
        <x:v>225</x:v>
      </x:c>
      <x:c r="C9" t="n">
        <x:v>33</x:v>
      </x:c>
      <x:c r="D9" t="n">
        <x:v>14.67</x:v>
      </x:c>
      <x:c r="E9" t="n">
        <x:v>29.91</x:v>
      </x:c>
      <x:c r="F9" t="n">
        <x:v>81.77</x:v>
      </x:c>
    </x:row>
    <x:row r="10">
      <x:c r="A10" t="str">
        <x:v>Feature request</x:v>
      </x:c>
      <x:c r="B10" t="n">
        <x:v>417</x:v>
      </x:c>
      <x:c r="C10" t="n">
        <x:v>65</x:v>
      </x:c>
      <x:c r="D10" t="n">
        <x:v>15.59</x:v>
      </x:c>
      <x:c r="E10" t="n">
        <x:v>34.21</x:v>
      </x:c>
      <x:c r="F10" t="n">
        <x:v>80.4</x:v>
      </x:c>
    </x:row>
    <x:row r="11">
      <x:c r="A11" t="str">
        <x:v>Other</x:v>
      </x:c>
      <x:c r="B11" t="n">
        <x:v>203</x:v>
      </x:c>
      <x:c r="C11" t="n">
        <x:v>44</x:v>
      </x:c>
      <x:c r="D11" t="n">
        <x:v>21.67</x:v>
      </x:c>
      <x:c r="E11" t="n">
        <x:v>31.47</x:v>
      </x:c>
      <x:c r="F11" t="n">
        <x:v>83.65</x:v>
      </x:c>
    </x:row>
    <x:row r="12">
      <x:c r="A12" t="str">
        <x:v>Pricing and licensing</x:v>
      </x:c>
      <x:c r="B12" t="n">
        <x:v>525</x:v>
      </x:c>
      <x:c r="C12" t="n">
        <x:v>89</x:v>
      </x:c>
      <x:c r="D12" t="n">
        <x:v>16.95</x:v>
      </x:c>
      <x:c r="E12" t="n">
        <x:v>36.67</x:v>
      </x:c>
      <x:c r="F12" t="n">
        <x:v>77.75</x:v>
      </x:c>
    </x:row>
    <x:row r="13">
      <x:c r="A13" t="str">
        <x:v>Product setup</x:v>
      </x:c>
      <x:c r="B13" t="n">
        <x:v>630</x:v>
      </x:c>
      <x:c r="C13" t="n">
        <x:v>126</x:v>
      </x:c>
      <x:c r="D13" t="n">
        <x:v>20</x:v>
      </x:c>
      <x:c r="E13" t="n">
        <x:v>30.77</x:v>
      </x:c>
      <x:c r="F13" t="n">
        <x:v>82.34</x:v>
      </x:c>
    </x:row>
    <x:row r="14">
      <x:c r="A14" t="str">
        <x:v>Purchasing and invoicing</x:v>
      </x:c>
      <x:c r="B14" t="n">
        <x:v>264</x:v>
      </x:c>
      <x:c r="C14" t="n">
        <x:v>45</x:v>
      </x:c>
      <x:c r="D14" t="n">
        <x:v>17.05</x:v>
      </x:c>
      <x:c r="E14" t="n">
        <x:v>33.44</x:v>
      </x:c>
      <x:c r="F14" t="n">
        <x:v>82.65</x:v>
      </x:c>
    </x:row>
    <x:row r="15">
      <x:c r="A15" t="str">
        <x:v>Training request</x:v>
      </x:c>
      <x:c r="B15" t="n">
        <x:v>66</x:v>
      </x:c>
      <x:c r="C15" t="n">
        <x:v>16</x:v>
      </x:c>
      <x:c r="D15" t="n">
        <x:v>24.24</x:v>
      </x:c>
      <x:c r="E15" t="n">
        <x:v>38.89</x:v>
      </x:c>
      <x:c r="F15" t="n">
        <x:v>76</x:v>
      </x:c>
    </x:row>
    <x:row r="18">
      <x:c r="A18" s="25" t="str">
        <x:v>Product Summary</x:v>
      </x:c>
      <x:c r="B18" s="25"/>
      <x:c r="C18" s="25"/>
      <x:c r="D18" s="25"/>
      <x:c r="E18" s="25"/>
      <x:c r="F18" s="25"/>
    </x:row>
    <x:row r="19">
      <x:c r="A19" s="14" t="str">
        <x:v>product_group</x:v>
      </x:c>
      <x:c r="B19" s="14" t="str">
        <x:v>total_tickets</x:v>
      </x:c>
      <x:c r="C19" s="14" t="str">
        <x:v>active_backlog</x:v>
      </x:c>
      <x:c r="D19" s="14" t="str">
        <x:v>backlog_rate_pct</x:v>
      </x:c>
      <x:c r="E19" s="14" t="str">
        <x:v>avg_resolution_hours</x:v>
      </x:c>
      <x:c r="F19" s="14" t="str">
        <x:v>completed_resolution_sla_compliance_pct</x:v>
      </x:c>
    </x:row>
    <x:row r="20">
      <x:c r="A20" t="str">
        <x:v>Custom software development</x:v>
      </x:c>
      <x:c r="B20" t="n">
        <x:v>644</x:v>
      </x:c>
      <x:c r="C20" t="n">
        <x:v>132</x:v>
      </x:c>
      <x:c r="D20" t="n">
        <x:v>20.5</x:v>
      </x:c>
      <x:c r="E20" t="n">
        <x:v>32.62</x:v>
      </x:c>
      <x:c r="F20" t="n">
        <x:v>78.71</x:v>
      </x:c>
    </x:row>
    <x:row r="21">
      <x:c r="A21" t="str">
        <x:v>Other</x:v>
      </x:c>
      <x:c r="B21" t="n">
        <x:v>345</x:v>
      </x:c>
      <x:c r="C21" t="n">
        <x:v>68</x:v>
      </x:c>
      <x:c r="D21" t="n">
        <x:v>19.71</x:v>
      </x:c>
      <x:c r="E21" t="n">
        <x:v>32.87</x:v>
      </x:c>
      <x:c r="F21" t="n">
        <x:v>82.67</x:v>
      </x:c>
    </x:row>
    <x:row r="22">
      <x:c r="A22" t="str">
        <x:v>Ready to use Software</x:v>
      </x:c>
      <x:c r="B22" t="n">
        <x:v>1010</x:v>
      </x:c>
      <x:c r="C22" t="n">
        <x:v>163</x:v>
      </x:c>
      <x:c r="D22" t="n">
        <x:v>16.14</x:v>
      </x:c>
      <x:c r="E22" t="n">
        <x:v>33.68</x:v>
      </x:c>
      <x:c r="F22" t="n">
        <x:v>81.23</x:v>
      </x:c>
    </x:row>
    <x:row r="23">
      <x:c r="A23" t="str">
        <x:v>Training and Consulting Services</x:v>
      </x:c>
      <x:c r="B23" t="n">
        <x:v>331</x:v>
      </x:c>
      <x:c r="C23" t="n">
        <x:v>55</x:v>
      </x:c>
      <x:c r="D23" t="n">
        <x:v>16.62</x:v>
      </x:c>
      <x:c r="E23" t="n">
        <x:v>33.4</x:v>
      </x:c>
      <x:c r="F23" t="n">
        <x:v>81.88</x:v>
      </x:c>
    </x:row>
  </x:sheetData>
  <x:mergeCells>
    <x:mergeCell ref="A1:F1"/>
    <x:mergeCell ref="A7:F7"/>
    <x:mergeCell ref="A18:F18"/>
  </x:mergeCells>
  <x:conditionalFormatting sqref="D3:D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